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fae\Downloads\"/>
    </mc:Choice>
  </mc:AlternateContent>
  <xr:revisionPtr revIDLastSave="0" documentId="13_ncr:1_{4EC26AEE-5BC8-43EE-B4D7-28A6D5B970E2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<sst xmlns="http://schemas.openxmlformats.org/spreadsheetml/2006/main" count="2018" uniqueCount="322">
  <si>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</si>
  <si>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</si>
  <si>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</si>
  <si>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</si>
  <si>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</si>
  <si>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</si>
  <si>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</si>
  <si>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</si>
  <si>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</si>
  <si>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</si>
  <si>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</si>
  <si>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</si>
  <si>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</si>
  <si>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</si>
  <si>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</si>
  <si>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</si>
  <si>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</si>
  <si>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</si>
  <si>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</si>
  <si>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</si>
  <si>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</si>
  <si>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</si>
  <si>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</si>
  <si>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</si>
  <si>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</si>
  <si>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</si>
  <si>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</si>
  <si>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</si>
  <si>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</si>
  <si>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</si>
  <si>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</si>
  <si>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</si>
  <si>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</si>
  <si>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</si>
  <si>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</si>
  <si>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</si>
  <si>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</si>
  <si>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</si>
  <si>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</si>
  <si>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</si>
  <si>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</si>
  <si>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</si>
  <si>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</si>
  <si>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</si>
  <si>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</si>
  <si>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</si>
  <si>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</si>
  <si>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</si>
  <si>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</si>
  <si>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</si>
  <si>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</si>
  <si>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</si>
  <si>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</si>
  <si>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</si>
  <si>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</si>
  <si>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</si>
  <si>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</si>
  <si>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</si>
  <si>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</si>
  <si>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</si>
  <si>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</si>
  <si>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</si>
  <si>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</si>
  <si>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</si>
  <si>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</si>
  <si>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</si>
  <si>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</si>
  <si>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</si>
  <si>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</si>
  <si>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</si>
  <si>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</si>
  <si>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</si>
  <si>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</si>
  <si>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</si>
  <si>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</si>
  <si>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</si>
  <si>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</si>
  <si>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</si>
  <si>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</si>
  <si>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</si>
  <si>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</si>
  <si>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</si>
  <si>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</si>
  <si>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</si>
  <si>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</si>
  <si>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</si>
  <si>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</si>
  <si>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</si>
  <si>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</si>
  <si>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</si>
  <si>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</si>
  <si>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</si>
  <si>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</si>
  <si>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</si>
  <si>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</si>
  <si>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</si>
  <si>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</si>
  <si>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</si>
  <si>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</si>
  <si>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</si>
  <si>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</si>
  <si>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</si>
  <si>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</si>
  <si>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</si>
  <si>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</si>
  <si>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</si>
  <si>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</si>
  <si>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</si>
  <si>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</si>
  <si>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</si>
  <si>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</si>
  <si>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</si>
  <si>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</si>
  <si>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</si>
  <si>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</si>
  <si>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</si>
  <si>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</si>
  <si>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</si>
  <si>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</si>
  <si>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</si>
  <si>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</si>
  <si>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</si>
  <si>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</si>
  <si>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</si>
  <si>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</si>
  <si>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</si>
  <si>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</si>
  <si>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</si>
  <si>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</si>
  <si>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</si>
  <si>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</si>
  <si>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</si>
  <si>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</si>
  <si>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</si>
  <si>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</si>
  <si>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</si>
  <si>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</si>
  <si>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</si>
  <si>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</si>
  <si>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</si>
  <si>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</si>
  <si>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</si>
  <si>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</si>
  <si>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</si>
  <si>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</si>
  <si>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</si>
  <si>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</si>
  <si>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</si>
  <si>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</si>
  <si>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</si>
  <si>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</si>
  <si>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</si>
  <si>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</si>
  <si>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</si>
  <si>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</si>
  <si>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</si>
  <si>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</si>
  <si>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</si>
  <si>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</si>
  <si>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</si>
  <si>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</si>
  <si>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</si>
  <si>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</si>
  <si>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</si>
  <si>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</si>
  <si>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</si>
  <si>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</si>
  <si>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</si>
  <si>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</si>
  <si>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</si>
  <si>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</si>
  <si>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</si>
  <si>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</si>
  <si>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</si>
  <si>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</si>
  <si>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</si>
  <si>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</si>
  <si>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</si>
  <si>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</si>
  <si>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</si>
  <si>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</si>
  <si>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</si>
  <si>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</si>
  <si>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</si>
  <si>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</si>
  <si>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</si>
  <si>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</si>
  <si>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</si>
  <si>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</si>
  <si>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</si>
  <si>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</si>
  <si>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</si>
  <si>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</si>
  <si>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</si>
  <si>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</si>
  <si>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</si>
  <si>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</si>
  <si>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</si>
  <si>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</si>
  <si>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</si>
  <si>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</si>
  <si>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</si>
  <si>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</si>
  <si>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</si>
  <si>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</si>
  <si>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</si>
  <si>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</si>
  <si>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</si>
  <si>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</si>
  <si>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</si>
  <si>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</si>
  <si>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</si>
  <si>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</si>
  <si>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</si>
  <si>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</si>
  <si>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</si>
  <si>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</si>
  <si>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</si>
  <si>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</si>
  <si>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</si>
  <si>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</si>
  <si>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</si>
  <si>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</si>
  <si>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</si>
  <si>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</si>
  <si>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</si>
  <si>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</si>
  <si>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</si>
  <si>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</si>
  <si>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</si>
  <si>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</si>
  <si>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</si>
  <si>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</si>
  <si>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</si>
  <si>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</si>
  <si>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</si>
  <si>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</si>
  <si>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</si>
  <si>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</si>
  <si>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</si>
  <si>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</si>
  <si>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</si>
  <si>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</si>
  <si>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</si>
  <si>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</si>
  <si>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</si>
  <si>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</si>
  <si>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</si>
  <si>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</si>
  <si>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</si>
  <si>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</si>
  <si>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</si>
  <si>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</si>
  <si>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</si>
  <si>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</si>
  <si>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</si>
  <si>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</si>
  <si>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</si>
  <si>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</si>
  <si>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</si>
  <si>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</si>
  <si>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</si>
  <si>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</si>
  <si>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</si>
  <si>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</si>
  <si>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</si>
  <si>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</si>
  <si>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</si>
  <si>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</si>
  <si>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</si>
  <si>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</si>
  <si>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</si>
  <si>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</si>
  <si>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</si>
  <si>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</si>
  <si>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</si>
  <si>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</si>
  <si>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</si>
  <si>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</si>
  <si>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</si>
  <si>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</si>
  <si>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</si>
  <si>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</si>
  <si>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</si>
  <si>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</si>
  <si>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</si>
  <si>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</si>
  <si>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</si>
  <si>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</si>
  <si>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</si>
  <si>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</si>
  <si>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</si>
  <si>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</si>
  <si>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</si>
  <si>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</si>
  <si>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</si>
  <si>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</si>
  <si>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</si>
  <si>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</si>
  <si>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</si>
  <si>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</si>
  <si>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</si>
  <si>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</si>
  <si>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</si>
  <si>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</si>
  <si>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</si>
  <si>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</si>
  <si>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</si>
  <si>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</si>
  <si>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</si>
  <si>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</si>
  <si>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</si>
  <si>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</si>
  <si>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TOTAL DE VENDAS DE PLANOS ANUAIS (CONTENDO TODAS AS ASSINATURAS AGREGADAS)</t>
  </si>
  <si>
    <t>QUAL FATURAMENTO TOTAL DE VENDAS DE PLANOS ANUAIS, SEPARADO POR AUTO RENOVAÇÃO</t>
  </si>
  <si>
    <t>Soma de Total Value</t>
  </si>
  <si>
    <t>Total Geral</t>
  </si>
  <si>
    <t>XBOX GAME PASS SUBSCRIPTIONS SALES</t>
  </si>
  <si>
    <t>TOTAL DE VENDAS DE ASSINATURAS DO EA PLAY</t>
  </si>
  <si>
    <t>Soma de EA Play Season Pass</t>
  </si>
  <si>
    <t>TOTAL DE VENDAS DE ASSINATURA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</si>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</sst>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5"/>
      <color rgb="FF22C55E"/>
      <name val="Segoe UI"/>
      <family val="2"/>
    </font>
    <font>
      <sz val="11"/>
      <color rgb="FF5BF6A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4" fillId="0" borderId="0" xfId="0" applyFont="1"/>
    <xf numFmtId="0" fontId="6" fillId="7" borderId="0" xfId="0" applyFont="1" applyFill="1"/>
    <xf numFmtId="44" fontId="0" fillId="0" borderId="0" xfId="2" applyFont="1"/>
    <xf numFmtId="0" fontId="0" fillId="7" borderId="0" xfId="0" applyFill="1" applyAlignment="1">
      <alignment horizontal="center" vertical="center"/>
    </xf>
    <xf numFmtId="0" fontId="5" fillId="0" borderId="2" xfId="1" applyFont="1" applyBorder="1" applyAlignment="1">
      <alignment horizontal="left" vertical="center" indent="6"/>
    </xf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Invisible" pivot="0" table="0" count="0" xr9:uid="{FAF32EFE-F649-40A2-A163-107055D83F61}"/>
    <tableStyle name="SlicerStyleLight6 2" pivot="0" table="0" count="10" xr9:uid="{00000000-0011-0000-FFFF-FFFF00000000}">
      <tableStyleElement type="wholeTable" dxfId="15"/>
      <tableStyleElement type="headerRow" dxfId="14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[DASHBOARD_XBOX_GAMEPASS_BSD_2025.xlsx]C̳álculos!tbl_annul_total</c:name>
    <c:fmtId val="8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429424386994559E-2"/>
          <c:y val="0.10657694977837792"/>
          <c:w val="0.94572858777883884"/>
          <c:h val="0.893423050221622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2C55E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2-4747-8813-A69D7B4E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662505072"/>
        <c:axId val="-662509968"/>
      </c:barChart>
      <c:catAx>
        <c:axId val="-662505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-662509968"/>
        <c:crosses val="autoZero"/>
        <c:auto val="1"/>
        <c:lblAlgn val="ctr"/>
        <c:lblOffset val="100"/>
        <c:noMultiLvlLbl val="0"/>
      </c:catAx>
      <c:valAx>
        <c:axId val="-66250996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-66250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1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2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2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104480</xdr:colOff>
      <xdr:row>1</xdr:row>
      <xdr:rowOff>15241</xdr:rowOff>
    </xdr:from>
    <xdr:to>
      <xdr:col>2</xdr:col>
      <xdr:colOff>361812</xdr:colOff>
      <xdr:row>2</xdr:row>
      <xdr:rowOff>136813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t="18884" r="73187" b="21485"/>
        <a:stretch/>
      </xdr:blipFill>
      <xdr:spPr>
        <a:xfrm>
          <a:off x="1758020" y="327661"/>
          <a:ext cx="501172" cy="433992"/>
        </a:xfrm>
        <a:prstGeom prst="rect">
          <a:avLst/>
        </a:prstGeom>
      </xdr:spPr>
    </xdr:pic>
    <xdr:clientData/>
  </xdr:twoCellAnchor>
  <xdr:twoCellAnchor>
    <xdr:from>
      <xdr:col>2</xdr:col>
      <xdr:colOff>18415</xdr:colOff>
      <xdr:row>9</xdr:row>
      <xdr:rowOff>152418</xdr:rowOff>
    </xdr:from>
    <xdr:to>
      <xdr:col>19</xdr:col>
      <xdr:colOff>60960</xdr:colOff>
      <xdr:row>18</xdr:row>
      <xdr:rowOff>20275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1915478" y="2938481"/>
          <a:ext cx="10146982" cy="2653919"/>
          <a:chOff x="2303930" y="2196353"/>
          <a:chExt cx="4623343" cy="2693691"/>
        </a:xfrm>
      </xdr:grpSpPr>
      <xdr:sp macro="" textlink="">
        <xdr:nvSpPr>
          <xdr:cNvPr id="5" name="Retângulo de cantos arredondados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2303930" y="2196353"/>
            <a:ext cx="4623343" cy="2680447"/>
          </a:xfrm>
          <a:prstGeom prst="roundRect">
            <a:avLst>
              <a:gd name="adj" fmla="val 7971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>
            <a:graphicFrameLocks/>
          </xdr:cNvGraphicFramePr>
        </xdr:nvGraphicFramePr>
        <xdr:xfrm>
          <a:off x="2439348" y="2283306"/>
          <a:ext cx="4392205" cy="260673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0</xdr:colOff>
      <xdr:row>6</xdr:row>
      <xdr:rowOff>191519</xdr:rowOff>
    </xdr:from>
    <xdr:to>
      <xdr:col>1</xdr:col>
      <xdr:colOff>815</xdr:colOff>
      <xdr:row>14</xdr:row>
      <xdr:rowOff>109257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066039"/>
              <a:ext cx="1829615" cy="24170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242421</xdr:colOff>
      <xdr:row>3</xdr:row>
      <xdr:rowOff>302381</xdr:rowOff>
    </xdr:from>
    <xdr:to>
      <xdr:col>8</xdr:col>
      <xdr:colOff>498231</xdr:colOff>
      <xdr:row>7</xdr:row>
      <xdr:rowOff>204701</xdr:rowOff>
    </xdr:to>
    <xdr:grpSp>
      <xdr:nvGrpSpPr>
        <xdr:cNvPr id="22" name="Grupo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pSpPr/>
      </xdr:nvGrpSpPr>
      <xdr:grpSpPr>
        <a:xfrm>
          <a:off x="1893421" y="1231069"/>
          <a:ext cx="4121373" cy="1140570"/>
          <a:chOff x="2093087" y="1242542"/>
          <a:chExt cx="4527648" cy="1148025"/>
        </a:xfrm>
      </xdr:grpSpPr>
      <xdr:sp macro="" textlink="C̳álculos!E25">
        <xdr:nvSpPr>
          <xdr:cNvPr id="7" name="Retângulo de cantos arredondados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/>
        </xdr:nvSpPr>
        <xdr:spPr>
          <a:xfrm>
            <a:off x="2093087" y="1299808"/>
            <a:ext cx="4525136" cy="109075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6C6C5019-E951-4783-B2BB-FA999335071C}" type="TxLink">
              <a:rPr lang="en-US" sz="40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r"/>
              <a:t> R$ 600,00 </a:t>
            </a:fld>
            <a:endParaRPr lang="pt-BR" sz="40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4916" b="16990"/>
          <a:stretch/>
        </xdr:blipFill>
        <xdr:spPr>
          <a:xfrm>
            <a:off x="2104615" y="1471372"/>
            <a:ext cx="1572861" cy="894522"/>
          </a:xfrm>
          <a:prstGeom prst="rect">
            <a:avLst/>
          </a:prstGeom>
        </xdr:spPr>
      </xdr:pic>
      <xdr:sp macro="" textlink="">
        <xdr:nvSpPr>
          <xdr:cNvPr id="11" name="Arredondar Retângulo no Mesmo Canto Lateral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2100037" y="1242542"/>
            <a:ext cx="4520698" cy="34422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n>
                  <a:noFill/>
                </a:ln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  <a:endParaRPr lang="pt-BR" sz="1050" b="1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529014</xdr:colOff>
      <xdr:row>3</xdr:row>
      <xdr:rowOff>303551</xdr:rowOff>
    </xdr:from>
    <xdr:to>
      <xdr:col>17</xdr:col>
      <xdr:colOff>14063</xdr:colOff>
      <xdr:row>7</xdr:row>
      <xdr:rowOff>203532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GrpSpPr/>
      </xdr:nvGrpSpPr>
      <xdr:grpSpPr>
        <a:xfrm>
          <a:off x="6648827" y="1232239"/>
          <a:ext cx="4160236" cy="1138231"/>
          <a:chOff x="7433204" y="1246365"/>
          <a:chExt cx="4530960" cy="1148025"/>
        </a:xfrm>
      </xdr:grpSpPr>
      <xdr:sp macro="" textlink="C̳álculos!E36">
        <xdr:nvSpPr>
          <xdr:cNvPr id="16" name="Retângulo de cantos arredondados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/>
        </xdr:nvSpPr>
        <xdr:spPr>
          <a:xfrm>
            <a:off x="7433204" y="1303631"/>
            <a:ext cx="4528446" cy="109075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8B72D52F-F8C5-410D-98B5-55048AD405E3}" type="TxLink">
              <a:rPr lang="en-US" sz="40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r"/>
              <a:t> R$ 940,00 </a:t>
            </a:fld>
            <a:endParaRPr lang="pt-BR" sz="40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8" name="Arredondar Retângulo no Mesmo Canto Lateral 17">
            <a:extLst>
              <a:ext uri="{FF2B5EF4-FFF2-40B4-BE49-F238E27FC236}">
                <a16:creationId xmlns:a16="http://schemas.microsoft.com/office/drawing/2014/main" id="{00000000-0008-0000-0300-000012000000}"/>
              </a:ext>
            </a:extLst>
          </xdr:cNvPr>
          <xdr:cNvSpPr/>
        </xdr:nvSpPr>
        <xdr:spPr>
          <a:xfrm>
            <a:off x="7440159" y="1246365"/>
            <a:ext cx="4524005" cy="34422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n>
                  <a:noFill/>
                </a:ln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MINECRAFT SEASON PASS</a:t>
            </a:r>
            <a:endParaRPr lang="pt-BR" sz="1050" b="1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19" name="Agrupar 16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pSpPr/>
        </xdr:nvGrpSpPr>
        <xdr:grpSpPr>
          <a:xfrm>
            <a:off x="7496765" y="1670045"/>
            <a:ext cx="1583636" cy="630857"/>
            <a:chOff x="3485314" y="5449034"/>
            <a:chExt cx="1549476" cy="76214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00000000-0008-0000-0300-000014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38447" y="544903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13">
              <a:extLst>
                <a:ext uri="{FF2B5EF4-FFF2-40B4-BE49-F238E27FC236}">
                  <a16:creationId xmlns:a16="http://schemas.microsoft.com/office/drawing/2014/main" id="{00000000-0008-0000-0300-000015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85314" y="595396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238495</xdr:colOff>
      <xdr:row>8</xdr:row>
      <xdr:rowOff>259098</xdr:rowOff>
    </xdr:from>
    <xdr:to>
      <xdr:col>19</xdr:col>
      <xdr:colOff>68580</xdr:colOff>
      <xdr:row>9</xdr:row>
      <xdr:rowOff>278781</xdr:rowOff>
    </xdr:to>
    <xdr:sp macro="" textlink="">
      <xdr:nvSpPr>
        <xdr:cNvPr id="24" name="Arredondar Retângulo no Mesmo Canto Lateral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1892035" y="2758458"/>
          <a:ext cx="10155185" cy="332103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SUBSCRIPTIONS XBOX GAME</a:t>
          </a:r>
          <a:r>
            <a:rPr lang="pt-BR" sz="1400" b="1" baseline="0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PASS</a:t>
          </a:r>
          <a:endParaRPr lang="pt-BR" sz="1050" b="1">
            <a:ln>
              <a:noFill/>
            </a:ln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4</xdr:row>
      <xdr:rowOff>30480</xdr:rowOff>
    </xdr:from>
    <xdr:to>
      <xdr:col>1</xdr:col>
      <xdr:colOff>0</xdr:colOff>
      <xdr:row>5</xdr:row>
      <xdr:rowOff>297180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/>
      </xdr:nvSpPr>
      <xdr:spPr>
        <a:xfrm>
          <a:off x="0" y="1280160"/>
          <a:ext cx="1653540" cy="579120"/>
        </a:xfrm>
        <a:prstGeom prst="rect">
          <a:avLst/>
        </a:prstGeom>
        <a:solidFill>
          <a:srgbClr val="22C55E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BEM</a:t>
          </a:r>
          <a:r>
            <a:rPr lang="pt-BR" sz="10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VINDA, RAFA</a:t>
          </a:r>
          <a:endParaRPr lang="pt-BR" sz="10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205740</xdr:colOff>
      <xdr:row>2</xdr:row>
      <xdr:rowOff>304800</xdr:rowOff>
    </xdr:from>
    <xdr:to>
      <xdr:col>10</xdr:col>
      <xdr:colOff>30480</xdr:colOff>
      <xdr:row>3</xdr:row>
      <xdr:rowOff>198120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2042160" y="929640"/>
          <a:ext cx="5463540" cy="205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100" b="0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Range:</a:t>
          </a:r>
          <a:r>
            <a:rPr lang="pt-BR" sz="1100" b="0" baseline="0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01/01/2024 - 31/12/2024 | Update date: 26/11/2025 - 08:30:00</a:t>
          </a:r>
          <a:endParaRPr lang="pt-BR" sz="1100" b="0">
            <a:solidFill>
              <a:schemeClr val="tx1">
                <a:lumMod val="50000"/>
                <a:lumOff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396240</xdr:colOff>
      <xdr:row>1</xdr:row>
      <xdr:rowOff>304800</xdr:rowOff>
    </xdr:from>
    <xdr:to>
      <xdr:col>0</xdr:col>
      <xdr:colOff>1091565</xdr:colOff>
      <xdr:row>4</xdr:row>
      <xdr:rowOff>30480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1AED0A3E-A9FF-41E9-B649-A2C34769451B}"/>
            </a:ext>
          </a:extLst>
        </xdr:cNvPr>
        <xdr:cNvSpPr/>
      </xdr:nvSpPr>
      <xdr:spPr>
        <a:xfrm>
          <a:off x="396240" y="617220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0.988933101849" createdVersion="8" refreshedVersion="8" minRefreshableVersion="3" recordCount="295" xr:uid="{00000000-000A-0000-FFFF-FFFF0200000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bl_annu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9">
  <location ref="B11:C14" firstHeaderRow="1" firstDataRow="1" firstDataCol="1" rowPageCount="1" colPageCount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2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3">
  <location ref="B32:C35" firstHeaderRow="1" firstDataRow="1" firstDataCol="1" rowPageCount="1" colPageCount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h="1"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dataField="1"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3"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3">
  <location ref="B21:C23" firstHeaderRow="1" firstDataRow="1" firstDataCol="1" rowPageCount="1" colPageCount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h="1" x="1"/>
        <item h="1"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2"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0000000-0013-0000-FFFF-FFFF01000000}" sourceName="Subscription Type">
  <pivotTables>
    <pivotTable tabId="3" name="tbl_annul_total"/>
    <pivotTable tabId="3" name="tbl_easeasonpass_total"/>
    <pivotTable tabId="3" name="Tabela dinâmica2"/>
  </pivotTables>
  <data>
    <tabular pivotCacheId="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0000000-0014-0000-FFFF-FFFF01000000}" cache="SegmentaçãodeDados_Subscription_Type" caption="Subscription Type" style="SlicerStyleLight6 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M296" totalsRowShown="0" dataDxfId="13">
  <autoFilter ref="A1:M296" xr:uid="{00000000-0009-0000-0100-000001000000}"/>
  <tableColumns count="13">
    <tableColumn id="1" xr3:uid="{00000000-0010-0000-0000-000001000000}" name="Subscriber ID" dataDxfId="12"/>
    <tableColumn id="2" xr3:uid="{00000000-0010-0000-0000-000002000000}" name="Name" dataDxfId="11"/>
    <tableColumn id="3" xr3:uid="{00000000-0010-0000-0000-000003000000}" name="Plan" dataDxfId="10"/>
    <tableColumn id="4" xr3:uid="{00000000-0010-0000-0000-000004000000}" name="Start Date" dataDxfId="9"/>
    <tableColumn id="5" xr3:uid="{00000000-0010-0000-0000-000005000000}" name="Auto Renewal" dataDxfId="8"/>
    <tableColumn id="6" xr3:uid="{00000000-0010-0000-0000-000006000000}" name="Subscription Price" dataDxfId="7" dataCellStyle="Moeda"/>
    <tableColumn id="7" xr3:uid="{00000000-0010-0000-0000-000007000000}" name="Subscription Type" dataDxfId="6"/>
    <tableColumn id="8" xr3:uid="{00000000-0010-0000-0000-000008000000}" name="EA Play Season Pass" dataDxfId="5"/>
    <tableColumn id="13" xr3:uid="{00000000-0010-0000-0000-00000D000000}" name="EA Play Season Pass_x000a_Price" dataDxfId="4" dataCellStyle="Moeda"/>
    <tableColumn id="9" xr3:uid="{00000000-0010-0000-0000-000009000000}" name="Minecraft Season Pass" dataDxfId="3"/>
    <tableColumn id="10" xr3:uid="{00000000-0010-0000-0000-00000A000000}" name="Minecraft Season Pass Price" dataDxfId="2" dataCellStyle="Moeda"/>
    <tableColumn id="11" xr3:uid="{00000000-0010-0000-0000-00000B000000}" name="Coupon Value" dataDxfId="1" dataCellStyle="Moeda"/>
    <tableColumn id="12" xr3:uid="{00000000-0010-0000-0000-00000C000000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49992370372631"/>
  </sheetPr>
  <dimension ref="B3:P21"/>
  <sheetViews>
    <sheetView showGridLines="0" topLeftCell="A4" zoomScaleNormal="100" workbookViewId="0">
      <selection activeCell="J17" sqref="J17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1</v>
      </c>
      <c r="C5" t="s">
        <v>2</v>
      </c>
      <c r="E5" s="7" t="s">
        <v>3</v>
      </c>
      <c r="F5" t="s">
        <v>4</v>
      </c>
    </row>
    <row r="6" spans="2:16" x14ac:dyDescent="0.3">
      <c r="B6" s="4" t="s">
        <v>5</v>
      </c>
      <c r="C6" t="s">
        <v>2</v>
      </c>
    </row>
    <row r="7" spans="2:16" x14ac:dyDescent="0.3">
      <c r="B7" s="5" t="s">
        <v>6</v>
      </c>
      <c r="C7" t="s">
        <v>7</v>
      </c>
    </row>
    <row r="8" spans="2:16" x14ac:dyDescent="0.3">
      <c r="B8" s="6" t="s">
        <v>8</v>
      </c>
      <c r="C8" t="s">
        <v>7</v>
      </c>
    </row>
    <row r="12" spans="2:16" ht="20.399999999999999" thickBot="1" x14ac:dyDescent="0.4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49992370372631"/>
  </sheetPr>
  <dimension ref="A1:M296"/>
  <sheetViews>
    <sheetView zoomScale="90" zoomScaleNormal="90" workbookViewId="0">
      <selection activeCell="J17" sqref="J17"/>
    </sheetView>
  </sheetViews>
  <sheetFormatPr defaultColWidth="19.88671875" defaultRowHeight="14.4" x14ac:dyDescent="0.3"/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 x14ac:dyDescent="0.3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749992370372631"/>
  </sheetPr>
  <dimension ref="B6:E36"/>
  <sheetViews>
    <sheetView showGridLines="0" topLeftCell="C19" workbookViewId="0">
      <selection activeCell="J17" sqref="J17"/>
    </sheetView>
  </sheetViews>
  <sheetFormatPr defaultRowHeight="14.4" x14ac:dyDescent="0.3"/>
  <cols>
    <col min="2" max="2" width="15.109375" bestFit="1" customWidth="1"/>
    <col min="3" max="3" width="32.21875" bestFit="1" customWidth="1"/>
    <col min="4" max="4" width="14.33203125" bestFit="1" customWidth="1"/>
    <col min="5" max="5" width="11.886718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6" spans="2:3" x14ac:dyDescent="0.3">
      <c r="B6" t="s">
        <v>313</v>
      </c>
    </row>
    <row r="7" spans="2:3" x14ac:dyDescent="0.3">
      <c r="B7" t="s">
        <v>314</v>
      </c>
    </row>
    <row r="9" spans="2:3" x14ac:dyDescent="0.3">
      <c r="B9" s="13" t="s">
        <v>17</v>
      </c>
      <c r="C9" t="s">
        <v>31</v>
      </c>
    </row>
    <row r="11" spans="2:3" x14ac:dyDescent="0.3">
      <c r="B11" s="13" t="s">
        <v>15</v>
      </c>
      <c r="C11" t="s">
        <v>315</v>
      </c>
    </row>
    <row r="12" spans="2:3" x14ac:dyDescent="0.3">
      <c r="B12" t="s">
        <v>30</v>
      </c>
      <c r="C12" s="12">
        <v>217</v>
      </c>
    </row>
    <row r="13" spans="2:3" x14ac:dyDescent="0.3">
      <c r="B13" t="s">
        <v>26</v>
      </c>
      <c r="C13" s="12">
        <v>1537</v>
      </c>
    </row>
    <row r="14" spans="2:3" x14ac:dyDescent="0.3">
      <c r="B14" t="s">
        <v>316</v>
      </c>
      <c r="C14" s="12">
        <v>1754</v>
      </c>
    </row>
    <row r="17" spans="2:5" x14ac:dyDescent="0.3">
      <c r="B17" t="s">
        <v>318</v>
      </c>
    </row>
    <row r="19" spans="2:5" x14ac:dyDescent="0.3">
      <c r="B19" s="13" t="s">
        <v>17</v>
      </c>
      <c r="C19" t="s">
        <v>31</v>
      </c>
    </row>
    <row r="21" spans="2:5" x14ac:dyDescent="0.3">
      <c r="B21" s="13" t="s">
        <v>13</v>
      </c>
      <c r="C21" t="s">
        <v>319</v>
      </c>
    </row>
    <row r="22" spans="2:5" x14ac:dyDescent="0.3">
      <c r="B22" t="s">
        <v>25</v>
      </c>
      <c r="C22" s="19">
        <v>600</v>
      </c>
    </row>
    <row r="23" spans="2:5" x14ac:dyDescent="0.3">
      <c r="B23" t="s">
        <v>316</v>
      </c>
      <c r="C23" s="19">
        <v>600</v>
      </c>
    </row>
    <row r="25" spans="2:5" x14ac:dyDescent="0.3">
      <c r="E25" s="16">
        <f>GETPIVOTDATA("EA Play Season Pass
Price",$B$21)</f>
        <v>600</v>
      </c>
    </row>
    <row r="28" spans="2:5" x14ac:dyDescent="0.3">
      <c r="B28" t="s">
        <v>320</v>
      </c>
    </row>
    <row r="30" spans="2:5" x14ac:dyDescent="0.3">
      <c r="B30" s="13" t="s">
        <v>17</v>
      </c>
      <c r="C30" t="s">
        <v>31</v>
      </c>
    </row>
    <row r="32" spans="2:5" x14ac:dyDescent="0.3">
      <c r="B32" s="13" t="s">
        <v>13</v>
      </c>
      <c r="C32" t="s">
        <v>321</v>
      </c>
    </row>
    <row r="33" spans="2:5" x14ac:dyDescent="0.3">
      <c r="B33" t="s">
        <v>34</v>
      </c>
      <c r="C33" s="19">
        <v>540</v>
      </c>
    </row>
    <row r="34" spans="2:5" x14ac:dyDescent="0.3">
      <c r="B34" t="s">
        <v>25</v>
      </c>
      <c r="C34" s="19">
        <v>400</v>
      </c>
    </row>
    <row r="35" spans="2:5" x14ac:dyDescent="0.3">
      <c r="B35" t="s">
        <v>316</v>
      </c>
      <c r="C35" s="19">
        <v>940</v>
      </c>
    </row>
    <row r="36" spans="2:5" x14ac:dyDescent="0.3">
      <c r="E36" s="16">
        <f>GETPIVOTDATA("Minecraft Season Pass Price",$B$32)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9"/>
  <sheetViews>
    <sheetView showGridLines="0" showRowColHeaders="0" tabSelected="1" zoomScale="96" zoomScaleNormal="96" workbookViewId="0">
      <selection activeCell="V11" sqref="V11"/>
    </sheetView>
  </sheetViews>
  <sheetFormatPr defaultColWidth="8.77734375" defaultRowHeight="25.05" customHeight="1" x14ac:dyDescent="0.3"/>
  <cols>
    <col min="1" max="1" width="24.109375" style="15" customWidth="1"/>
    <col min="2" max="2" width="3.5546875" style="7" customWidth="1"/>
    <col min="3" max="11" width="8.77734375" style="7"/>
    <col min="12" max="12" width="6.5546875" style="7" customWidth="1"/>
    <col min="13" max="16384" width="8.77734375" style="7"/>
  </cols>
  <sheetData>
    <row r="1" spans="1:17" customFormat="1" ht="25.05" customHeight="1" x14ac:dyDescent="0.3">
      <c r="A1" s="4"/>
    </row>
    <row r="2" spans="1:17" customFormat="1" ht="25.05" customHeight="1" thickBot="1" x14ac:dyDescent="0.35">
      <c r="A2" s="4"/>
      <c r="C2" s="18" t="s">
        <v>317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s="14" customFormat="1" ht="25.05" customHeight="1" thickTop="1" x14ac:dyDescent="0.3">
      <c r="A3" s="4"/>
    </row>
    <row r="4" spans="1:17" ht="25.05" customHeight="1" x14ac:dyDescent="0.3">
      <c r="A4" s="4"/>
    </row>
    <row r="5" spans="1:17" ht="25.05" customHeight="1" x14ac:dyDescent="0.3">
      <c r="A5" s="4"/>
    </row>
    <row r="6" spans="1:17" ht="25.05" customHeight="1" x14ac:dyDescent="0.3">
      <c r="A6" s="4"/>
    </row>
    <row r="7" spans="1:17" ht="25.05" customHeight="1" x14ac:dyDescent="0.3">
      <c r="A7" s="4"/>
    </row>
    <row r="8" spans="1:17" ht="25.05" customHeight="1" x14ac:dyDescent="0.3">
      <c r="A8" s="4"/>
    </row>
    <row r="9" spans="1:17" ht="25.05" customHeight="1" x14ac:dyDescent="0.3">
      <c r="A9" s="4"/>
    </row>
    <row r="10" spans="1:17" ht="25.05" customHeight="1" x14ac:dyDescent="0.3">
      <c r="A10" s="4"/>
    </row>
    <row r="11" spans="1:17" ht="25.05" customHeight="1" x14ac:dyDescent="0.3">
      <c r="A11" s="4"/>
    </row>
    <row r="12" spans="1:17" ht="25.05" customHeight="1" x14ac:dyDescent="0.3">
      <c r="A12" s="4"/>
      <c r="K12" s="17"/>
    </row>
    <row r="13" spans="1:17" ht="25.05" customHeight="1" x14ac:dyDescent="0.3">
      <c r="A13" s="4"/>
    </row>
    <row r="14" spans="1:17" ht="25.05" customHeight="1" x14ac:dyDescent="0.3">
      <c r="A14" s="4"/>
    </row>
    <row r="15" spans="1:17" ht="25.05" customHeight="1" x14ac:dyDescent="0.3">
      <c r="A15" s="4"/>
    </row>
    <row r="16" spans="1:17" ht="25.05" customHeight="1" x14ac:dyDescent="0.3">
      <c r="A16" s="4"/>
    </row>
    <row r="17" spans="1:1" ht="25.05" customHeight="1" x14ac:dyDescent="0.3">
      <c r="A17" s="4"/>
    </row>
    <row r="18" spans="1:1" ht="25.05" customHeight="1" x14ac:dyDescent="0.3">
      <c r="A18" s="4"/>
    </row>
    <row r="19" spans="1:1" ht="25.05" customHeight="1" x14ac:dyDescent="0.3">
      <c r="A19" s="4"/>
    </row>
    <row r="20" spans="1:1" ht="25.05" customHeight="1" x14ac:dyDescent="0.3">
      <c r="A20" s="4"/>
    </row>
    <row r="21" spans="1:1" ht="25.05" customHeight="1" x14ac:dyDescent="0.3">
      <c r="A21" s="4"/>
    </row>
    <row r="22" spans="1:1" ht="25.05" customHeight="1" x14ac:dyDescent="0.3">
      <c r="A22" s="4"/>
    </row>
    <row r="23" spans="1:1" ht="25.05" customHeight="1" x14ac:dyDescent="0.3">
      <c r="A23" s="4"/>
    </row>
    <row r="24" spans="1:1" ht="25.05" customHeight="1" x14ac:dyDescent="0.3">
      <c r="A24" s="4"/>
    </row>
    <row r="25" spans="1:1" ht="25.05" customHeight="1" x14ac:dyDescent="0.3">
      <c r="A25" s="4"/>
    </row>
    <row r="26" spans="1:1" ht="25.05" customHeight="1" x14ac:dyDescent="0.3">
      <c r="A26" s="4"/>
    </row>
    <row r="27" spans="1:1" ht="25.05" customHeight="1" x14ac:dyDescent="0.3">
      <c r="A27" s="4"/>
    </row>
    <row r="28" spans="1:1" ht="25.05" customHeight="1" x14ac:dyDescent="0.3">
      <c r="A28" s="4"/>
    </row>
    <row r="29" spans="1:1" ht="25.05" customHeight="1" x14ac:dyDescent="0.3">
      <c r="A29" s="4"/>
    </row>
    <row r="30" spans="1:1" ht="25.05" customHeight="1" x14ac:dyDescent="0.3">
      <c r="A30" s="4"/>
    </row>
    <row r="31" spans="1:1" ht="25.05" customHeight="1" x14ac:dyDescent="0.3">
      <c r="A31" s="4"/>
    </row>
    <row r="32" spans="1:1" ht="25.05" customHeight="1" x14ac:dyDescent="0.3">
      <c r="A32" s="4"/>
    </row>
    <row r="33" spans="1:1" ht="25.05" customHeight="1" x14ac:dyDescent="0.3">
      <c r="A33" s="4"/>
    </row>
    <row r="34" spans="1:1" ht="25.05" customHeight="1" x14ac:dyDescent="0.3">
      <c r="A34" s="4"/>
    </row>
    <row r="35" spans="1:1" ht="25.05" customHeight="1" x14ac:dyDescent="0.3">
      <c r="A35" s="4"/>
    </row>
    <row r="36" spans="1:1" ht="25.05" customHeight="1" x14ac:dyDescent="0.3">
      <c r="A36" s="4"/>
    </row>
    <row r="37" spans="1:1" ht="25.05" customHeight="1" x14ac:dyDescent="0.3">
      <c r="A37" s="4"/>
    </row>
    <row r="38" spans="1:1" ht="25.05" customHeight="1" x14ac:dyDescent="0.3">
      <c r="A38" s="4"/>
    </row>
    <row r="39" spans="1:1" ht="25.05" customHeight="1" x14ac:dyDescent="0.3">
      <c r="A39" s="4"/>
    </row>
    <row r="40" spans="1:1" ht="25.05" customHeight="1" x14ac:dyDescent="0.3">
      <c r="A40" s="4"/>
    </row>
    <row r="41" spans="1:1" ht="25.05" customHeight="1" x14ac:dyDescent="0.3">
      <c r="A41" s="4"/>
    </row>
    <row r="42" spans="1:1" ht="25.05" customHeight="1" x14ac:dyDescent="0.3">
      <c r="A42" s="4"/>
    </row>
    <row r="43" spans="1:1" ht="25.05" customHeight="1" x14ac:dyDescent="0.3">
      <c r="A43" s="4"/>
    </row>
    <row r="44" spans="1:1" ht="25.05" customHeight="1" x14ac:dyDescent="0.3">
      <c r="A44" s="4"/>
    </row>
    <row r="45" spans="1:1" ht="25.05" customHeight="1" x14ac:dyDescent="0.3">
      <c r="A45" s="4"/>
    </row>
    <row r="46" spans="1:1" ht="25.05" customHeight="1" x14ac:dyDescent="0.3">
      <c r="A46" s="4"/>
    </row>
    <row r="47" spans="1:1" ht="25.05" customHeight="1" x14ac:dyDescent="0.3">
      <c r="A47" s="4"/>
    </row>
    <row r="48" spans="1:1" ht="25.05" customHeight="1" x14ac:dyDescent="0.3">
      <c r="A48" s="4"/>
    </row>
    <row r="49" spans="1:1" ht="25.05" customHeight="1" x14ac:dyDescent="0.3">
      <c r="A49" s="4"/>
    </row>
    <row r="50" spans="1:1" ht="25.05" customHeight="1" x14ac:dyDescent="0.3">
      <c r="A50" s="4"/>
    </row>
    <row r="51" spans="1:1" ht="25.05" customHeight="1" x14ac:dyDescent="0.3">
      <c r="A51" s="4"/>
    </row>
    <row r="52" spans="1:1" ht="25.05" customHeight="1" x14ac:dyDescent="0.3">
      <c r="A52" s="4"/>
    </row>
    <row r="53" spans="1:1" ht="25.05" customHeight="1" x14ac:dyDescent="0.3">
      <c r="A53" s="4"/>
    </row>
    <row r="54" spans="1:1" ht="25.05" customHeight="1" x14ac:dyDescent="0.3">
      <c r="A54" s="4"/>
    </row>
    <row r="55" spans="1:1" ht="25.05" customHeight="1" x14ac:dyDescent="0.3">
      <c r="A55" s="4"/>
    </row>
    <row r="56" spans="1:1" ht="25.05" customHeight="1" x14ac:dyDescent="0.3">
      <c r="A56" s="4"/>
    </row>
    <row r="57" spans="1:1" ht="25.05" customHeight="1" x14ac:dyDescent="0.3">
      <c r="A57" s="4"/>
    </row>
    <row r="58" spans="1:1" ht="25.05" customHeight="1" x14ac:dyDescent="0.3">
      <c r="A58" s="4"/>
    </row>
    <row r="59" spans="1:1" ht="25.05" customHeight="1" x14ac:dyDescent="0.3">
      <c r="A59" s="4"/>
    </row>
    <row r="60" spans="1:1" ht="25.05" customHeight="1" x14ac:dyDescent="0.3">
      <c r="A60" s="4"/>
    </row>
    <row r="61" spans="1:1" ht="25.05" customHeight="1" x14ac:dyDescent="0.3">
      <c r="A61" s="4"/>
    </row>
    <row r="62" spans="1:1" ht="25.05" customHeight="1" x14ac:dyDescent="0.3">
      <c r="A62" s="4"/>
    </row>
    <row r="63" spans="1:1" ht="25.05" customHeight="1" x14ac:dyDescent="0.3">
      <c r="A63" s="4"/>
    </row>
    <row r="64" spans="1:1" ht="25.05" customHeight="1" x14ac:dyDescent="0.3">
      <c r="A64" s="4"/>
    </row>
    <row r="65" spans="1:1" ht="25.05" customHeight="1" x14ac:dyDescent="0.3">
      <c r="A65" s="4"/>
    </row>
    <row r="66" spans="1:1" ht="25.05" customHeight="1" x14ac:dyDescent="0.3">
      <c r="A66" s="4"/>
    </row>
    <row r="67" spans="1:1" ht="25.05" customHeight="1" x14ac:dyDescent="0.3">
      <c r="A67" s="4"/>
    </row>
    <row r="68" spans="1:1" ht="25.05" customHeight="1" x14ac:dyDescent="0.3">
      <c r="A68" s="4"/>
    </row>
    <row r="69" spans="1:1" ht="25.05" customHeight="1" x14ac:dyDescent="0.3">
      <c r="A69" s="4"/>
    </row>
    <row r="70" spans="1:1" ht="25.05" customHeight="1" x14ac:dyDescent="0.3">
      <c r="A70" s="4"/>
    </row>
    <row r="71" spans="1:1" ht="25.05" customHeight="1" x14ac:dyDescent="0.3">
      <c r="A71" s="4"/>
    </row>
    <row r="72" spans="1:1" ht="25.05" customHeight="1" x14ac:dyDescent="0.3">
      <c r="A72" s="4"/>
    </row>
    <row r="73" spans="1:1" ht="25.05" customHeight="1" x14ac:dyDescent="0.3">
      <c r="A73" s="4"/>
    </row>
    <row r="74" spans="1:1" ht="25.05" customHeight="1" x14ac:dyDescent="0.3">
      <c r="A74" s="4"/>
    </row>
    <row r="75" spans="1:1" ht="25.05" customHeight="1" x14ac:dyDescent="0.3">
      <c r="A75" s="4"/>
    </row>
    <row r="76" spans="1:1" ht="25.05" customHeight="1" x14ac:dyDescent="0.3">
      <c r="A76" s="4"/>
    </row>
    <row r="77" spans="1:1" ht="25.05" customHeight="1" x14ac:dyDescent="0.3">
      <c r="A77" s="4"/>
    </row>
    <row r="78" spans="1:1" ht="25.05" customHeight="1" x14ac:dyDescent="0.3">
      <c r="A78" s="4"/>
    </row>
    <row r="79" spans="1:1" ht="25.05" customHeight="1" x14ac:dyDescent="0.3">
      <c r="A79" s="4"/>
    </row>
    <row r="80" spans="1:1" ht="25.05" customHeight="1" x14ac:dyDescent="0.3">
      <c r="A80" s="4"/>
    </row>
    <row r="81" spans="1:1" ht="25.05" customHeight="1" x14ac:dyDescent="0.3">
      <c r="A81" s="4"/>
    </row>
    <row r="82" spans="1:1" ht="25.05" customHeight="1" x14ac:dyDescent="0.3">
      <c r="A82" s="4"/>
    </row>
    <row r="83" spans="1:1" ht="25.05" customHeight="1" x14ac:dyDescent="0.3">
      <c r="A83" s="4"/>
    </row>
    <row r="84" spans="1:1" ht="25.05" customHeight="1" x14ac:dyDescent="0.3">
      <c r="A84" s="4"/>
    </row>
    <row r="85" spans="1:1" ht="25.05" customHeight="1" x14ac:dyDescent="0.3">
      <c r="A85" s="4"/>
    </row>
    <row r="86" spans="1:1" ht="25.05" customHeight="1" x14ac:dyDescent="0.3">
      <c r="A86" s="4"/>
    </row>
    <row r="87" spans="1:1" ht="25.05" customHeight="1" x14ac:dyDescent="0.3">
      <c r="A87" s="4"/>
    </row>
    <row r="88" spans="1:1" ht="25.05" customHeight="1" x14ac:dyDescent="0.3">
      <c r="A88" s="4"/>
    </row>
    <row r="89" spans="1:1" ht="25.05" customHeight="1" x14ac:dyDescent="0.3">
      <c r="A89" s="4"/>
    </row>
    <row r="90" spans="1:1" ht="25.05" customHeight="1" x14ac:dyDescent="0.3">
      <c r="A90" s="4"/>
    </row>
    <row r="91" spans="1:1" ht="25.05" customHeight="1" x14ac:dyDescent="0.3">
      <c r="A91" s="4"/>
    </row>
    <row r="92" spans="1:1" ht="25.05" customHeight="1" x14ac:dyDescent="0.3">
      <c r="A92" s="4"/>
    </row>
    <row r="93" spans="1:1" ht="25.05" customHeight="1" x14ac:dyDescent="0.3">
      <c r="A93" s="4"/>
    </row>
    <row r="94" spans="1:1" ht="25.05" customHeight="1" x14ac:dyDescent="0.3">
      <c r="A94" s="4"/>
    </row>
    <row r="95" spans="1:1" ht="25.05" customHeight="1" x14ac:dyDescent="0.3">
      <c r="A95" s="4"/>
    </row>
    <row r="96" spans="1:1" ht="25.05" customHeight="1" x14ac:dyDescent="0.3">
      <c r="A96" s="4"/>
    </row>
    <row r="97" spans="1:1" ht="25.05" customHeight="1" x14ac:dyDescent="0.3">
      <c r="A97" s="4"/>
    </row>
    <row r="98" spans="1:1" ht="25.05" customHeight="1" x14ac:dyDescent="0.3">
      <c r="A98" s="4"/>
    </row>
    <row r="99" spans="1:1" ht="25.05" customHeight="1" x14ac:dyDescent="0.3">
      <c r="A99" s="4"/>
    </row>
  </sheetData>
  <mergeCells count="1">
    <mergeCell ref="C2:Q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dcmitype/"/>
    <ds:schemaRef ds:uri="851b35d3-0456-4d6a-bc2f-da927e91d158"/>
    <ds:schemaRef ds:uri="http://www.w3.org/XML/1998/namespace"/>
    <ds:schemaRef ds:uri="19483571-f922-4e8e-9c1c-26f0a2252132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Rafaella Lima</cp:lastModifiedBy>
  <cp:revision/>
  <dcterms:created xsi:type="dcterms:W3CDTF">2024-12-19T13:13:10Z</dcterms:created>
  <dcterms:modified xsi:type="dcterms:W3CDTF">2025-11-26T12:16:46Z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